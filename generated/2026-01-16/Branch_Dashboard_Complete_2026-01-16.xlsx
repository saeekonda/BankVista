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  <sheet name="DATA" sheetId="2" state="hidden" r:id="rId2"/>
    <sheet name="AI INSIGHTS &amp; RECOMMENDATIONS" sheetId="3" state="visible" r:id="rId3"/>
    <sheet name="DAILY BUSINESS POSITION (DB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"/>
    <numFmt numFmtId="165" formatCode="+0.00%;-0.00%"/>
  </numFmts>
  <fonts count="17">
    <font>
      <name val="Calibri"/>
      <family val="2"/>
      <color theme="1"/>
      <sz val="11"/>
      <scheme val="minor"/>
    </font>
    <font>
      <b val="1"/>
      <sz val="9"/>
    </font>
    <font>
      <b val="1"/>
      <color rgb="001F4E78"/>
      <sz val="14"/>
    </font>
    <font>
      <b val="1"/>
      <sz val="10"/>
    </font>
    <font>
      <b val="1"/>
      <sz val="11"/>
    </font>
    <font>
      <i val="1"/>
      <sz val="9"/>
    </font>
    <font>
      <i val="1"/>
      <sz val="8"/>
    </font>
    <font>
      <b val="1"/>
      <color rgb="00FFFFFF"/>
      <sz val="11"/>
    </font>
    <font>
      <b val="1"/>
      <sz val="12"/>
    </font>
    <font>
      <b val="1"/>
    </font>
    <font>
      <b val="1"/>
      <color rgb="00FFFFFF"/>
      <sz val="9"/>
    </font>
    <font>
      <sz val="9"/>
    </font>
    <font>
      <b val="1"/>
      <color rgb="001F4E78"/>
      <sz val="16"/>
    </font>
    <font>
      <b val="1"/>
      <sz val="14"/>
    </font>
    <font>
      <b val="1"/>
      <color rgb="00FFFFFF"/>
      <sz val="14"/>
    </font>
    <font/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4" borderId="0" pivotButton="0" quotePrefix="0" xfId="0"/>
    <xf numFmtId="0" fontId="9" fillId="0" borderId="0" pivotButton="0" quotePrefix="0" xfId="0"/>
    <xf numFmtId="0" fontId="4" fillId="4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11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1" fillId="2" borderId="0" pivotButton="0" quotePrefix="0" xfId="0"/>
    <xf numFmtId="0" fontId="12" fillId="0" borderId="0" applyAlignment="1" pivotButton="0" quotePrefix="0" xfId="0">
      <alignment horizontal="center"/>
    </xf>
    <xf numFmtId="0" fontId="8" fillId="0" borderId="0" pivotButton="0" quotePrefix="0" xfId="0"/>
    <xf numFmtId="0" fontId="13" fillId="6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14" fillId="7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5" fillId="0" borderId="0" pivotButton="0" quotePrefix="0" xfId="0"/>
    <xf numFmtId="0" fontId="16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B2" s="1" t="inlineStr">
        <is>
          <t>बैंक ऑफ इंडिया / BANK OF INDIA</t>
        </is>
      </c>
    </row>
    <row r="3">
      <c r="B3" s="1" t="inlineStr">
        <is>
          <t>आयोजना विभाग, तेलंगाना अंचल / PLANNING DEPARTMENT, TELANGANA ZONE</t>
        </is>
      </c>
    </row>
    <row r="5">
      <c r="B5" s="2" t="inlineStr">
        <is>
          <t>PAGE-1</t>
        </is>
      </c>
    </row>
    <row r="7">
      <c r="B7" s="3" t="inlineStr">
        <is>
          <t>BRANCH PROFILE AS ON</t>
        </is>
      </c>
      <c r="F7" s="3" t="inlineStr">
        <is>
          <t>16-Jan-2026</t>
        </is>
      </c>
      <c r="I7" s="4" t="inlineStr">
        <is>
          <t>(Amount Rs. in Lakhs)</t>
        </is>
      </c>
    </row>
    <row r="8">
      <c r="B8" s="5" t="inlineStr">
        <is>
          <t>Remark's: HR Data is as on 15.09.2025</t>
        </is>
      </c>
    </row>
    <row r="10">
      <c r="B10" s="6" t="inlineStr">
        <is>
          <t>शाखा विवरण / BRANCH DETAILS</t>
        </is>
      </c>
    </row>
    <row r="11">
      <c r="B11" s="2" t="inlineStr">
        <is>
          <t>शाखा का नाम / Branch Name</t>
        </is>
      </c>
      <c r="E11" s="7" t="inlineStr">
        <is>
          <t>Select Branch</t>
        </is>
      </c>
      <c r="I11" s="8" t="inlineStr">
        <is>
          <t>BR. CODE</t>
        </is>
      </c>
      <c r="J11" s="9">
        <f>INDEX(DATA!A:A,MATCH($E$11,DATA!B:B,0))</f>
        <v/>
      </c>
      <c r="L11" s="10" t="inlineStr">
        <is>
          <t>←ENTER BRANCH
CODE HERE</t>
        </is>
      </c>
    </row>
    <row r="13">
      <c r="B13" s="6" t="inlineStr">
        <is>
          <t>जमा / DEPOSITS</t>
        </is>
      </c>
    </row>
    <row r="14">
      <c r="B14" s="11" t="inlineStr"/>
      <c r="C14" s="11" t="inlineStr">
        <is>
          <t>Mar-23
Actual</t>
        </is>
      </c>
      <c r="D14" s="11" t="inlineStr">
        <is>
          <t>Mar-24
Actual</t>
        </is>
      </c>
      <c r="E14" s="11" t="inlineStr">
        <is>
          <t>Mar-25
Actual</t>
        </is>
      </c>
      <c r="F14" s="11" t="inlineStr">
        <is>
          <t>24-Nov-25
Budget</t>
        </is>
      </c>
      <c r="G14" s="11" t="inlineStr">
        <is>
          <t>24-Nov-25
Actual</t>
        </is>
      </c>
      <c r="H14" s="11" t="inlineStr">
        <is>
          <t>GAP</t>
        </is>
      </c>
      <c r="I14" s="11" t="inlineStr">
        <is>
          <t>VAR Over
Mar-25</t>
        </is>
      </c>
      <c r="J14" s="11" t="inlineStr">
        <is>
          <t>Budget
Mar-26</t>
        </is>
      </c>
    </row>
    <row r="15">
      <c r="B15" s="12" t="inlineStr">
        <is>
          <t>जमा पूंजी / SAVINGS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>
        <f>F15-E15</f>
        <v/>
      </c>
      <c r="I15" s="13">
        <f>F15-D15</f>
        <v/>
      </c>
      <c r="J15" s="13" t="n">
        <v>0</v>
      </c>
    </row>
    <row r="16">
      <c r="B16" s="12" t="inlineStr">
        <is>
          <t>चालू / CURRENT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>
        <f>F16-E16</f>
        <v/>
      </c>
      <c r="I16" s="13">
        <f>F16-D16</f>
        <v/>
      </c>
      <c r="J16" s="13" t="n">
        <v>0</v>
      </c>
    </row>
    <row r="17">
      <c r="B17" s="12" t="inlineStr">
        <is>
          <t>चलती / CASA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>
        <f>F17-E17</f>
        <v/>
      </c>
      <c r="I17" s="13">
        <f>F17-D17</f>
        <v/>
      </c>
      <c r="J17" s="13" t="n">
        <v>0</v>
      </c>
    </row>
    <row r="18">
      <c r="B18" s="12" t="inlineStr">
        <is>
          <t>खुदरा सावधि जमा / RETAIL TD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>
        <f>F18-E18</f>
        <v/>
      </c>
      <c r="I18" s="13">
        <f>F18-D18</f>
        <v/>
      </c>
      <c r="J18" s="13" t="n">
        <v>0</v>
      </c>
    </row>
    <row r="19">
      <c r="B19" s="12" t="inlineStr">
        <is>
          <t>सावधि जमा / TERM DEPOSITS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>
        <f>F19-E19</f>
        <v/>
      </c>
      <c r="I19" s="13">
        <f>F19-D19</f>
        <v/>
      </c>
      <c r="J19" s="13" t="n">
        <v>0</v>
      </c>
    </row>
    <row r="20">
      <c r="B20" s="14" t="inlineStr">
        <is>
          <t>कुल जमाराशि / TOTAL DEPOSITS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>
        <f>F20-E20</f>
        <v/>
      </c>
      <c r="I20" s="13">
        <f>F20-D20</f>
        <v/>
      </c>
      <c r="J20" s="13" t="n">
        <v>0</v>
      </c>
    </row>
    <row r="22">
      <c r="B22" s="6" t="inlineStr">
        <is>
          <t>अग्रिम / ADVANCES</t>
        </is>
      </c>
    </row>
    <row r="23">
      <c r="B23" s="11" t="inlineStr"/>
      <c r="C23" s="11" t="inlineStr">
        <is>
          <t>Mar-23
Actual</t>
        </is>
      </c>
      <c r="D23" s="11" t="inlineStr">
        <is>
          <t>Mar-24
Actual</t>
        </is>
      </c>
      <c r="E23" s="11" t="inlineStr">
        <is>
          <t>Mar-25
Actual</t>
        </is>
      </c>
      <c r="F23" s="11" t="inlineStr">
        <is>
          <t>24-Nov-25
Budget</t>
        </is>
      </c>
      <c r="G23" s="11" t="inlineStr">
        <is>
          <t>24-Nov-25
Actual</t>
        </is>
      </c>
      <c r="H23" s="11" t="inlineStr">
        <is>
          <t>GAP</t>
        </is>
      </c>
      <c r="I23" s="11" t="inlineStr">
        <is>
          <t>VAR Over
Mar-25</t>
        </is>
      </c>
      <c r="J23" s="11" t="inlineStr">
        <is>
          <t>Budget
Mar-26</t>
        </is>
      </c>
    </row>
    <row r="24">
      <c r="B24" s="14" t="inlineStr">
        <is>
          <t>कुल अग्रिम / TOTAL ADVANCES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>
        <f>F24-E24</f>
        <v/>
      </c>
      <c r="I24" s="13">
        <f>F24-D24</f>
        <v/>
      </c>
      <c r="J24" s="13" t="n">
        <v>0</v>
      </c>
    </row>
    <row r="25">
      <c r="B25" s="12" t="inlineStr">
        <is>
          <t>सुवर्ण ऋण / GOLD LOAN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>
        <f>F25-E25</f>
        <v/>
      </c>
      <c r="I25" s="13">
        <f>F25-D25</f>
        <v/>
      </c>
      <c r="J25" s="13" t="n">
        <v>0</v>
      </c>
    </row>
    <row r="26">
      <c r="B26" s="12" t="inlineStr">
        <is>
          <t>कृषि / AGRICULTURE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>
        <f>F26-E26</f>
        <v/>
      </c>
      <c r="I26" s="13">
        <f>F26-D26</f>
        <v/>
      </c>
      <c r="J26" s="13" t="n">
        <v>0</v>
      </c>
    </row>
    <row r="27">
      <c r="B27" s="12" t="inlineStr">
        <is>
          <t>एमएसएमई / MSME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>
        <f>F27-E27</f>
        <v/>
      </c>
      <c r="I27" s="13">
        <f>F27-D27</f>
        <v/>
      </c>
      <c r="J27" s="13" t="n">
        <v>0</v>
      </c>
    </row>
    <row r="28">
      <c r="B28" s="14" t="inlineStr">
        <is>
          <t>कुल खुदरा / TOTAL RETAIL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>
        <f>F28-E28</f>
        <v/>
      </c>
      <c r="I28" s="13">
        <f>F28-D28</f>
        <v/>
      </c>
      <c r="J28" s="13" t="n">
        <v>0</v>
      </c>
    </row>
    <row r="29">
      <c r="B29" s="12" t="inlineStr">
        <is>
          <t>कॉर्पोरेट एवं अन्य /C &amp; IC OTHERS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>
        <f>F29-E29</f>
        <v/>
      </c>
      <c r="I29" s="13">
        <f>F29-D29</f>
        <v/>
      </c>
      <c r="J29" s="13" t="n">
        <v>0</v>
      </c>
    </row>
  </sheetData>
  <mergeCells count="12">
    <mergeCell ref="B11:D11"/>
    <mergeCell ref="J11:K11"/>
    <mergeCell ref="B13:L13"/>
    <mergeCell ref="B5:C5"/>
    <mergeCell ref="B3:L3"/>
    <mergeCell ref="B2:L2"/>
    <mergeCell ref="B7:E7"/>
    <mergeCell ref="B10:L10"/>
    <mergeCell ref="I7:L7"/>
    <mergeCell ref="B22:L22"/>
    <mergeCell ref="E11:H11"/>
    <mergeCell ref="F7:G7"/>
  </mergeCells>
  <dataValidations count="1">
    <dataValidation sqref="E11" showDropDown="0" showInputMessage="0" showErrorMessage="0" allowBlank="0" type="list">
      <formula1>=DATA!$B$2:$B$71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Branch_ID</t>
        </is>
      </c>
      <c r="B1" s="15" t="inlineStr">
        <is>
          <t>Branch_Name</t>
        </is>
      </c>
      <c r="C1" s="15" t="inlineStr">
        <is>
          <t>Zone</t>
        </is>
      </c>
      <c r="D1" s="15" t="inlineStr">
        <is>
          <t>Grade</t>
        </is>
      </c>
      <c r="E1" s="15" t="inlineStr">
        <is>
          <t>Score</t>
        </is>
      </c>
      <c r="F1" s="15" t="inlineStr">
        <is>
          <t>Total_Deposits</t>
        </is>
      </c>
      <c r="G1" s="15" t="inlineStr">
        <is>
          <t>Deposit_Target</t>
        </is>
      </c>
      <c r="H1" s="15" t="inlineStr">
        <is>
          <t>Advances</t>
        </is>
      </c>
      <c r="I1" s="15" t="inlineStr">
        <is>
          <t>Advance_Target</t>
        </is>
      </c>
      <c r="J1" s="15" t="inlineStr">
        <is>
          <t>NPA_Percent</t>
        </is>
      </c>
      <c r="K1" s="15" t="inlineStr">
        <is>
          <t>Profit_Per_Staff</t>
        </is>
      </c>
      <c r="L1" s="15" t="inlineStr">
        <is>
          <t>AI_Insights</t>
        </is>
      </c>
      <c r="M1" s="15" t="inlineStr">
        <is>
          <t>AI_Recommendations</t>
        </is>
      </c>
      <c r="N1" s="15" t="inlineStr">
        <is>
          <t>Priority_Actions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inlineStr">
        <is>
          <t>B</t>
        </is>
      </c>
      <c r="E2" t="n">
        <v>75</v>
      </c>
      <c r="F2" t="n">
        <v>1174.35</v>
      </c>
      <c r="G2" t="n">
        <v>946.05</v>
      </c>
      <c r="H2" t="n">
        <v>1892.43</v>
      </c>
      <c r="I2" t="n">
        <v>1522.13</v>
      </c>
      <c r="J2" t="n">
        <v>5.44</v>
      </c>
      <c r="K2" t="n">
        <v>0.5074285714285715</v>
      </c>
      <c r="L2" t="inlineStr">
        <is>
          <t>✅ Deposits at 124.1% - On track | ✅ Advances at 124.3% - Strong performance | 🟡 NPA at 5.44% - High stress zone</t>
        </is>
      </c>
      <c r="M2" t="inlineStr">
        <is>
          <t>Maintain momentum through customer engagement | Aggressive recovery campaigns | Weekly recovery review meetings | CRITICAL: Review cost structure | Staff productivity enhancement needed</t>
        </is>
      </c>
      <c r="N2" t="inlineStr">
        <is>
          <t>1</t>
        </is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inlineStr">
        <is>
          <t>A</t>
        </is>
      </c>
      <c r="E3" t="n">
        <v>100</v>
      </c>
      <c r="F3" t="n">
        <v>879.6900000000001</v>
      </c>
      <c r="G3" t="n">
        <v>668.71</v>
      </c>
      <c r="H3" t="n">
        <v>1287.25</v>
      </c>
      <c r="I3" t="n">
        <v>1197.78</v>
      </c>
      <c r="J3" t="n">
        <v>1.3</v>
      </c>
      <c r="K3" t="n">
        <v>7.611764705882353</v>
      </c>
      <c r="L3" t="inlineStr">
        <is>
          <t>✅ Deposits at 131.6% - On track | ✅ Advances at 107.5% - Strong performance | ✅ NPA at 1.3% - Excellent asset quality</t>
        </is>
      </c>
      <c r="M3" t="inlineStr">
        <is>
          <t>Maintain momentum through customer engagement</t>
        </is>
      </c>
      <c r="N3" t="inlineStr">
        <is>
          <t>1</t>
        </is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inlineStr">
        <is>
          <t>A</t>
        </is>
      </c>
      <c r="E4" t="n">
        <v>93.09999999999999</v>
      </c>
      <c r="F4" t="n">
        <v>2002.69</v>
      </c>
      <c r="G4" t="n">
        <v>2219.18</v>
      </c>
      <c r="H4" t="n">
        <v>360.84</v>
      </c>
      <c r="I4" t="n">
        <v>429.1</v>
      </c>
      <c r="J4" t="n">
        <v>1.13</v>
      </c>
      <c r="K4" t="n">
        <v>9.016976744186048</v>
      </c>
      <c r="L4" t="inlineStr">
        <is>
          <t>🟡 Deposits at 90.2% - Need push (₹216Cr gap) | 🔴 CRITICAL: Advances at 84.1% (Need ₹68Cr) | ✅ NPA at 1.13% - Excellent asset quality</t>
        </is>
      </c>
      <c r="M4" t="inlineStr">
        <is>
          <t>Intensify retail deposit campaigns | Focus on salary account acquisition | URGENT: Accelerate loan disbursement | Focus on MSME and Agriculture loans | Organize loan camps (2 per month)</t>
        </is>
      </c>
      <c r="N4" t="inlineStr">
        <is>
          <t>2</t>
        </is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inlineStr">
        <is>
          <t>B</t>
        </is>
      </c>
      <c r="E5" t="n">
        <v>74.2</v>
      </c>
      <c r="F5" t="n">
        <v>1431.68</v>
      </c>
      <c r="G5" t="n">
        <v>1544.04</v>
      </c>
      <c r="H5" t="n">
        <v>1684.38</v>
      </c>
      <c r="I5" t="n">
        <v>1971.05</v>
      </c>
      <c r="J5" t="n">
        <v>8.35</v>
      </c>
      <c r="K5" t="n">
        <v>5.492830188679245</v>
      </c>
      <c r="L5" t="inlineStr">
        <is>
          <t>🟡 Deposits at 92.7% - Need push (₹112Cr gap) | 🟡 Advances at 85.5% - Below target | 🔴 CRITICAL: NPA at 8.35% - Immediate action needed</t>
        </is>
      </c>
      <c r="M5" t="inlineStr">
        <is>
          <t>Intensify retail deposit campaigns | Focus on salary account acquisition | Push quality credit growth | Tap MSME sector opportunities | URGENT: Constitute daily recovery task force</t>
        </is>
      </c>
      <c r="N5" t="inlineStr">
        <is>
          <t>2</t>
        </is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inlineStr">
        <is>
          <t>C</t>
        </is>
      </c>
      <c r="E6" t="n">
        <v>62.6</v>
      </c>
      <c r="F6" t="n">
        <v>563.0599999999999</v>
      </c>
      <c r="G6" t="n">
        <v>674.8099999999999</v>
      </c>
      <c r="H6" t="n">
        <v>1667.36</v>
      </c>
      <c r="I6" t="n">
        <v>2024.6</v>
      </c>
      <c r="J6" t="n">
        <v>10.99</v>
      </c>
      <c r="K6" t="n">
        <v>3.3571875</v>
      </c>
      <c r="L6" t="inlineStr">
        <is>
          <t>🔴 CRITICAL: Deposits at 83.4% of target (Need ₹112Cr more) | 🔴 CRITICAL: Advances at 82.4% (Need ₹357Cr) | 🔴 CRITICAL: NPA at 10.99% - Immediate action needed</t>
        </is>
      </c>
      <c r="M6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6" t="inlineStr">
        <is>
          <t>3</t>
        </is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inlineStr">
        <is>
          <t>B</t>
        </is>
      </c>
      <c r="E7" t="n">
        <v>73.7</v>
      </c>
      <c r="F7" t="n">
        <v>1276.27</v>
      </c>
      <c r="G7" t="n">
        <v>1115.33</v>
      </c>
      <c r="H7" t="n">
        <v>667.39</v>
      </c>
      <c r="I7" t="n">
        <v>890.88</v>
      </c>
      <c r="J7" t="n">
        <v>7.59</v>
      </c>
      <c r="K7" t="n">
        <v>6.270793650793651</v>
      </c>
      <c r="L7" t="inlineStr">
        <is>
          <t>✅ Deposits at 114.4% - On track | 🔴 CRITICAL: Advances at 74.9% (Need ₹223Cr) | 🔴 CRITICAL: NPA at 7.59% - Immediate action needed</t>
        </is>
      </c>
      <c r="M7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7" t="inlineStr">
        <is>
          <t>2</t>
        </is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inlineStr">
        <is>
          <t>B</t>
        </is>
      </c>
      <c r="E8" t="n">
        <v>70.09999999999999</v>
      </c>
      <c r="F8" t="n">
        <v>1077.43</v>
      </c>
      <c r="G8" t="n">
        <v>1493.45</v>
      </c>
      <c r="H8" t="n">
        <v>506.97</v>
      </c>
      <c r="I8" t="n">
        <v>539.21</v>
      </c>
      <c r="J8" t="n">
        <v>13.1</v>
      </c>
      <c r="K8" t="n">
        <v>13.03666666666667</v>
      </c>
      <c r="L8" t="inlineStr">
        <is>
          <t>🔴 CRITICAL: Deposits at 72.1% of target (Need ₹416Cr more) | 🟡 Advances at 94.0% - Below target | 🔴 CRITICAL: NPA at 13.1% - Immediate action needed</t>
        </is>
      </c>
      <c r="M8" t="inlineStr">
        <is>
          <t>URGENT: Launch deposit mobilization drive within 7 days | Target 5 new CASA accounts daily | Conduct customer meets in catchment area | Push quality credit growth | Tap MSME sector opportunities</t>
        </is>
      </c>
      <c r="N8" t="inlineStr">
        <is>
          <t>2</t>
        </is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inlineStr">
        <is>
          <t>B</t>
        </is>
      </c>
      <c r="E9" t="n">
        <v>77.2</v>
      </c>
      <c r="F9" t="n">
        <v>2364.34</v>
      </c>
      <c r="G9" t="n">
        <v>2603.42</v>
      </c>
      <c r="H9" t="n">
        <v>2476.24</v>
      </c>
      <c r="I9" t="n">
        <v>2439.87</v>
      </c>
      <c r="J9" t="n">
        <v>8.33</v>
      </c>
      <c r="K9" t="n">
        <v>12.39588235294118</v>
      </c>
      <c r="L9" t="inlineStr">
        <is>
          <t>🟡 Deposits at 90.8% - Need push (₹239Cr gap) | ✅ Advances at 101.5% - Strong performance | 🔴 CRITICAL: NPA at 8.33% - Immediate action needed</t>
        </is>
      </c>
      <c r="M9" t="inlineStr">
        <is>
          <t>Intensify retail deposit campaigns | Focus on salary account acquisition | URGENT: Constitute daily recovery task force | Legal action on top 5 defaulters | Offer OTS schemes to stressed accounts</t>
        </is>
      </c>
      <c r="N9" t="inlineStr">
        <is>
          <t>2</t>
        </is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inlineStr">
        <is>
          <t>A</t>
        </is>
      </c>
      <c r="E10" t="n">
        <v>81.09999999999999</v>
      </c>
      <c r="F10" t="n">
        <v>2850.64</v>
      </c>
      <c r="G10" t="n">
        <v>2941.49</v>
      </c>
      <c r="H10" t="n">
        <v>1926.8</v>
      </c>
      <c r="I10" t="n">
        <v>1532.77</v>
      </c>
      <c r="J10" t="n">
        <v>4.34</v>
      </c>
      <c r="K10" t="n">
        <v>3.595</v>
      </c>
      <c r="L10" t="inlineStr">
        <is>
          <t>✅ Deposits at 96.9% - On track | ✅ Advances at 125.7% - Strong performance | 🟡 NPA at 4.34% - High stress zone</t>
        </is>
      </c>
      <c r="M10" t="inlineStr">
        <is>
          <t>Maintain momentum through customer engagement | Aggressive recovery campaigns | Weekly recovery review meetings</t>
        </is>
      </c>
      <c r="N10" t="inlineStr">
        <is>
          <t>1</t>
        </is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inlineStr">
        <is>
          <t>C</t>
        </is>
      </c>
      <c r="E11" t="n">
        <v>64.3</v>
      </c>
      <c r="F11" t="n">
        <v>360.92</v>
      </c>
      <c r="G11" t="n">
        <v>369.29</v>
      </c>
      <c r="H11" t="n">
        <v>636.9299999999999</v>
      </c>
      <c r="I11" t="n">
        <v>533.63</v>
      </c>
      <c r="J11" t="n">
        <v>10.87</v>
      </c>
      <c r="K11" t="n">
        <v>1.808378378378378</v>
      </c>
      <c r="L11" t="inlineStr">
        <is>
          <t>✅ Deposits at 97.7% - On track | ✅ Advances at 119.4% - Strong performance | 🔴 CRITICAL: NPA at 10.87% - Immediate action needed</t>
        </is>
      </c>
      <c r="M11" t="inlineStr">
        <is>
          <t>Maintain momentum through customer engagement | URGENT: Constitute daily recovery task force | Legal action on top 5 defaulters | Offer OTS schemes to stressed accounts | CRITICAL: Review cost structure</t>
        </is>
      </c>
      <c r="N11" t="inlineStr">
        <is>
          <t>1</t>
        </is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inlineStr">
        <is>
          <t>C</t>
        </is>
      </c>
      <c r="E12" t="n">
        <v>64.40000000000001</v>
      </c>
      <c r="F12" t="n">
        <v>1374.32</v>
      </c>
      <c r="G12" t="n">
        <v>1844.02</v>
      </c>
      <c r="H12" t="n">
        <v>1490.92</v>
      </c>
      <c r="I12" t="n">
        <v>1304.22</v>
      </c>
      <c r="J12" t="n">
        <v>12.43</v>
      </c>
      <c r="K12" t="n">
        <v>4.874736842105263</v>
      </c>
      <c r="L12" t="inlineStr">
        <is>
          <t>🔴 CRITICAL: Deposits at 74.5% of target (Need ₹470Cr more) | ✅ Advances at 114.3% - Strong performance | 🔴 CRITICAL: NPA at 12.43% - Immediate action needed</t>
        </is>
      </c>
      <c r="M12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12" t="inlineStr">
        <is>
          <t>2</t>
        </is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inlineStr">
        <is>
          <t>B</t>
        </is>
      </c>
      <c r="E13" t="n">
        <v>77.7</v>
      </c>
      <c r="F13" t="n">
        <v>1051.74</v>
      </c>
      <c r="G13" t="n">
        <v>1041.97</v>
      </c>
      <c r="H13" t="n">
        <v>1132.81</v>
      </c>
      <c r="I13" t="n">
        <v>1600.82</v>
      </c>
      <c r="J13" t="n">
        <v>1.62</v>
      </c>
      <c r="K13" t="n">
        <v>0.8507777777777777</v>
      </c>
      <c r="L13" t="inlineStr">
        <is>
          <t>✅ Deposits at 100.9% - On track | 🔴 CRITICAL: Advances at 70.8% (Need ₹468Cr) | 🟢 NPA at 1.62% - Manageable</t>
        </is>
      </c>
      <c r="M13" t="inlineStr">
        <is>
          <t>Maintain momentum through customer engagement | URGENT: Accelerate loan disbursement | Focus on MSME and Agriculture loans | Organize loan camps (2 per month) | Continue monitoring stress accounts</t>
        </is>
      </c>
      <c r="N13" t="inlineStr">
        <is>
          <t>1</t>
        </is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inlineStr">
        <is>
          <t>C</t>
        </is>
      </c>
      <c r="E14" t="n">
        <v>63.9</v>
      </c>
      <c r="F14" t="n">
        <v>930.01</v>
      </c>
      <c r="G14" t="n">
        <v>966.72</v>
      </c>
      <c r="H14" t="n">
        <v>1731.72</v>
      </c>
      <c r="I14" t="n">
        <v>1640.04</v>
      </c>
      <c r="J14" t="n">
        <v>6.16</v>
      </c>
      <c r="K14" t="n">
        <v>2.211153846153846</v>
      </c>
      <c r="L14" t="inlineStr">
        <is>
          <t>✅ Deposits at 96.2% - On track | ✅ Advances at 105.6% - Strong performance | 🔴 CRITICAL: NPA at 6.16% - Immediate action needed</t>
        </is>
      </c>
      <c r="M14" t="inlineStr">
        <is>
          <t>Maintain momentum through customer engagement | URGENT: Constitute daily recovery task force | Legal action on top 5 defaulters | Offer OTS schemes to stressed accounts | Enhance cross-selling</t>
        </is>
      </c>
      <c r="N14" t="inlineStr">
        <is>
          <t>1</t>
        </is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inlineStr">
        <is>
          <t>C</t>
        </is>
      </c>
      <c r="E15" t="n">
        <v>64.09999999999999</v>
      </c>
      <c r="F15" t="n">
        <v>1160.25</v>
      </c>
      <c r="G15" t="n">
        <v>914.1</v>
      </c>
      <c r="H15" t="n">
        <v>2433.93</v>
      </c>
      <c r="I15" t="n">
        <v>3560.03</v>
      </c>
      <c r="J15" t="n">
        <v>12.64</v>
      </c>
      <c r="K15" t="n">
        <v>4.586883116883117</v>
      </c>
      <c r="L15" t="inlineStr">
        <is>
          <t>✅ Deposits at 126.9% - On track | 🔴 CRITICAL: Advances at 68.4% (Need ₹1126Cr) | 🔴 CRITICAL: NPA at 12.64% - Immediate action needed</t>
        </is>
      </c>
      <c r="M15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15" t="inlineStr">
        <is>
          <t>2</t>
        </is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inlineStr">
        <is>
          <t>A</t>
        </is>
      </c>
      <c r="E16" t="n">
        <v>87.40000000000001</v>
      </c>
      <c r="F16" t="n">
        <v>1359.42</v>
      </c>
      <c r="G16" t="n">
        <v>1331.26</v>
      </c>
      <c r="H16" t="n">
        <v>469.2</v>
      </c>
      <c r="I16" t="n">
        <v>575.11</v>
      </c>
      <c r="J16" t="n">
        <v>1.41</v>
      </c>
      <c r="K16" t="n">
        <v>3.917692307692308</v>
      </c>
      <c r="L16" t="inlineStr">
        <is>
          <t>✅ Deposits at 102.1% - On track | 🔴 CRITICAL: Advances at 81.6% (Need ₹106Cr) | ✅ NPA at 1.41% - Excellent asset quality</t>
        </is>
      </c>
      <c r="M16" t="inlineStr">
        <is>
          <t>Maintain momentum through customer engagement | URGENT: Accelerate loan disbursement | Focus on MSME and Agriculture loans | Organize loan camps (2 per month)</t>
        </is>
      </c>
      <c r="N16" t="inlineStr">
        <is>
          <t>1</t>
        </is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inlineStr">
        <is>
          <t>B</t>
        </is>
      </c>
      <c r="E17" t="n">
        <v>73</v>
      </c>
      <c r="F17" t="n">
        <v>596.8099999999999</v>
      </c>
      <c r="G17" t="n">
        <v>668.73</v>
      </c>
      <c r="H17" t="n">
        <v>466.19</v>
      </c>
      <c r="I17" t="n">
        <v>547.8099999999999</v>
      </c>
      <c r="J17" t="n">
        <v>13.31</v>
      </c>
      <c r="K17" t="n">
        <v>18.66933333333333</v>
      </c>
      <c r="L17" t="inlineStr">
        <is>
          <t>🟡 Deposits at 89.2% - Need push (₹72Cr gap) | 🟡 Advances at 85.1% - Below target | 🔴 CRITICAL: NPA at 13.31% - Immediate action needed</t>
        </is>
      </c>
      <c r="M17" t="inlineStr">
        <is>
          <t>Intensify retail deposit campaigns | Focus on salary account acquisition | Push quality credit growth | Tap MSME sector opportunities | URGENT: Constitute daily recovery task force</t>
        </is>
      </c>
      <c r="N17" t="inlineStr">
        <is>
          <t>2</t>
        </is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inlineStr">
        <is>
          <t>C</t>
        </is>
      </c>
      <c r="E18" t="n">
        <v>61.6</v>
      </c>
      <c r="F18" t="n">
        <v>2660.7</v>
      </c>
      <c r="G18" t="n">
        <v>3006.19</v>
      </c>
      <c r="H18" t="n">
        <v>586.23</v>
      </c>
      <c r="I18" t="n">
        <v>550.58</v>
      </c>
      <c r="J18" t="n">
        <v>6.9</v>
      </c>
      <c r="K18" t="n">
        <v>0.8935294117647059</v>
      </c>
      <c r="L18" t="inlineStr">
        <is>
          <t>🟡 Deposits at 88.5% - Need push (₹345Cr gap) | ✅ Advances at 106.5% - Strong performance | 🔴 CRITICAL: NPA at 6.9% - Immediate action needed</t>
        </is>
      </c>
      <c r="M18" t="inlineStr">
        <is>
          <t>Intensify retail deposit campaigns | Focus on salary account acquisition | URGENT: Constitute daily recovery task force | Legal action on top 5 defaulters | Offer OTS schemes to stressed accounts</t>
        </is>
      </c>
      <c r="N18" t="inlineStr">
        <is>
          <t>2</t>
        </is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inlineStr">
        <is>
          <t>B</t>
        </is>
      </c>
      <c r="E19" t="n">
        <v>79.2</v>
      </c>
      <c r="F19" t="n">
        <v>2981.38</v>
      </c>
      <c r="G19" t="n">
        <v>3059.47</v>
      </c>
      <c r="H19" t="n">
        <v>1457.97</v>
      </c>
      <c r="I19" t="n">
        <v>1187.39</v>
      </c>
      <c r="J19" t="n">
        <v>10.49</v>
      </c>
      <c r="K19" t="n">
        <v>8.48423076923077</v>
      </c>
      <c r="L19" t="inlineStr">
        <is>
          <t>✅ Deposits at 97.4% - On track | ✅ Advances at 122.8% - Strong performance | 🔴 CRITICAL: NPA at 10.49% - Immediate action needed</t>
        </is>
      </c>
      <c r="M19" t="inlineStr">
        <is>
          <t>Maintain momentum through customer engagement | URGENT: Constitute daily recovery task force | Legal action on top 5 defaulters | Offer OTS schemes to stressed accounts</t>
        </is>
      </c>
      <c r="N19" t="inlineStr">
        <is>
          <t>1</t>
        </is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inlineStr">
        <is>
          <t>C</t>
        </is>
      </c>
      <c r="E20" t="n">
        <v>64.5</v>
      </c>
      <c r="F20" t="n">
        <v>1694.1</v>
      </c>
      <c r="G20" t="n">
        <v>1429.23</v>
      </c>
      <c r="H20" t="n">
        <v>2675.25</v>
      </c>
      <c r="I20" t="n">
        <v>2732.27</v>
      </c>
      <c r="J20" t="n">
        <v>10.73</v>
      </c>
      <c r="K20" t="n">
        <v>1.604090909090909</v>
      </c>
      <c r="L20" t="inlineStr">
        <is>
          <t>✅ Deposits at 118.5% - On track | ✅ Advances at 97.9% - Strong performance | 🔴 CRITICAL: NPA at 10.73% - Immediate action needed</t>
        </is>
      </c>
      <c r="M20" t="inlineStr">
        <is>
          <t>Maintain momentum through customer engagement | URGENT: Constitute daily recovery task force | Legal action on top 5 defaulters | Offer OTS schemes to stressed accounts | CRITICAL: Review cost structure</t>
        </is>
      </c>
      <c r="N20" t="inlineStr">
        <is>
          <t>1</t>
        </is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inlineStr">
        <is>
          <t>B</t>
        </is>
      </c>
      <c r="E21" t="n">
        <v>66.7</v>
      </c>
      <c r="F21" t="n">
        <v>2630.98</v>
      </c>
      <c r="G21" t="n">
        <v>3123.86</v>
      </c>
      <c r="H21" t="n">
        <v>878.9</v>
      </c>
      <c r="I21" t="n">
        <v>900.89</v>
      </c>
      <c r="J21" t="n">
        <v>10.92</v>
      </c>
      <c r="K21" t="n">
        <v>3.490571428571429</v>
      </c>
      <c r="L21" t="inlineStr">
        <is>
          <t>🔴 CRITICAL: Deposits at 84.2% of target (Need ₹493Cr more) | ✅ Advances at 97.6% - Strong performance | 🔴 CRITICAL: NPA at 10.92% - Immediate action needed</t>
        </is>
      </c>
      <c r="M21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21" t="inlineStr">
        <is>
          <t>2</t>
        </is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inlineStr">
        <is>
          <t>B</t>
        </is>
      </c>
      <c r="E22" t="n">
        <v>71.8</v>
      </c>
      <c r="F22" t="n">
        <v>1190.1</v>
      </c>
      <c r="G22" t="n">
        <v>1018.88</v>
      </c>
      <c r="H22" t="n">
        <v>2309.93</v>
      </c>
      <c r="I22" t="n">
        <v>3438.78</v>
      </c>
      <c r="J22" t="n">
        <v>11.55</v>
      </c>
      <c r="K22" t="n">
        <v>9.586857142857143</v>
      </c>
      <c r="L22" t="inlineStr">
        <is>
          <t>✅ Deposits at 116.8% - On track | 🔴 CRITICAL: Advances at 67.2% (Need ₹1129Cr) | 🔴 CRITICAL: NPA at 11.55% - Immediate action needed</t>
        </is>
      </c>
      <c r="M22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22" t="inlineStr">
        <is>
          <t>2</t>
        </is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inlineStr">
        <is>
          <t>A</t>
        </is>
      </c>
      <c r="E23" t="n">
        <v>80.5</v>
      </c>
      <c r="F23" t="n">
        <v>839.78</v>
      </c>
      <c r="G23" t="n">
        <v>877.53</v>
      </c>
      <c r="H23" t="n">
        <v>2100.61</v>
      </c>
      <c r="I23" t="n">
        <v>3134.54</v>
      </c>
      <c r="J23" t="n">
        <v>4</v>
      </c>
      <c r="K23" t="n">
        <v>6.2942</v>
      </c>
      <c r="L23" t="inlineStr">
        <is>
          <t>✅ Deposits at 95.7% - On track | 🔴 CRITICAL: Advances at 67.0% (Need ₹1034Cr) | 🟡 NPA at 4.0% - High stress zone</t>
        </is>
      </c>
      <c r="M23" t="inlineStr">
        <is>
          <t>Maintain momentum through customer engagement | URGENT: Accelerate loan disbursement | Focus on MSME and Agriculture loans | Organize loan camps (2 per month) | Aggressive recovery campaigns</t>
        </is>
      </c>
      <c r="N23" t="inlineStr">
        <is>
          <t>2</t>
        </is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inlineStr">
        <is>
          <t>B</t>
        </is>
      </c>
      <c r="E24" t="n">
        <v>66.2</v>
      </c>
      <c r="F24" t="n">
        <v>1507.51</v>
      </c>
      <c r="G24" t="n">
        <v>2044.06</v>
      </c>
      <c r="H24" t="n">
        <v>2768.9</v>
      </c>
      <c r="I24" t="n">
        <v>4059.9</v>
      </c>
      <c r="J24" t="n">
        <v>3.48</v>
      </c>
      <c r="K24" t="n">
        <v>3.542258064516129</v>
      </c>
      <c r="L24" t="inlineStr">
        <is>
          <t>🔴 CRITICAL: Deposits at 73.8% of target (Need ₹537Cr more) | 🔴 CRITICAL: Advances at 68.2% (Need ₹1291Cr) | 🟡 NPA at 3.48% - High stress zone</t>
        </is>
      </c>
      <c r="M24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24" t="inlineStr">
        <is>
          <t>3</t>
        </is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inlineStr">
        <is>
          <t>C</t>
        </is>
      </c>
      <c r="E25" t="n">
        <v>59.6</v>
      </c>
      <c r="F25" t="n">
        <v>1211.89</v>
      </c>
      <c r="G25" t="n">
        <v>1257.77</v>
      </c>
      <c r="H25" t="n">
        <v>2761.65</v>
      </c>
      <c r="I25" t="n">
        <v>3335.24</v>
      </c>
      <c r="J25" t="n">
        <v>12.77</v>
      </c>
      <c r="K25" t="n">
        <v>1.833636363636364</v>
      </c>
      <c r="L25" t="inlineStr">
        <is>
          <t>✅ Deposits at 96.4% - On track | 🔴 CRITICAL: Advances at 82.8% (Need ₹574Cr) | 🔴 CRITICAL: NPA at 12.77% - Immediate action needed</t>
        </is>
      </c>
      <c r="M25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25" t="inlineStr">
        <is>
          <t>2</t>
        </is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inlineStr">
        <is>
          <t>C</t>
        </is>
      </c>
      <c r="E26" t="n">
        <v>54.5</v>
      </c>
      <c r="F26" t="n">
        <v>528.9</v>
      </c>
      <c r="G26" t="n">
        <v>614.8</v>
      </c>
      <c r="H26" t="n">
        <v>2565.42</v>
      </c>
      <c r="I26" t="n">
        <v>3429.27</v>
      </c>
      <c r="J26" t="n">
        <v>12.5</v>
      </c>
      <c r="K26" t="n">
        <v>2.309540229885057</v>
      </c>
      <c r="L26" t="inlineStr">
        <is>
          <t>🟡 Deposits at 86.0% - Need push (₹86Cr gap) | 🔴 CRITICAL: Advances at 74.8% (Need ₹864Cr) | 🔴 CRITICAL: NPA at 12.5% - Immediate action needed</t>
        </is>
      </c>
      <c r="M26" t="inlineStr">
        <is>
          <t>Intensify retail deposit campaigns | Focus on salary account acquisition | URGENT: Accelerate loan disbursement | Focus on MSME and Agriculture loans | Organize loan camps (2 per month)</t>
        </is>
      </c>
      <c r="N26" t="inlineStr">
        <is>
          <t>3</t>
        </is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inlineStr">
        <is>
          <t>C</t>
        </is>
      </c>
      <c r="E27" t="n">
        <v>64.7</v>
      </c>
      <c r="F27" t="n">
        <v>1197.8</v>
      </c>
      <c r="G27" t="n">
        <v>1509.92</v>
      </c>
      <c r="H27" t="n">
        <v>2726.31</v>
      </c>
      <c r="I27" t="n">
        <v>2854.12</v>
      </c>
      <c r="J27" t="n">
        <v>10.28</v>
      </c>
      <c r="K27" t="n">
        <v>3.854545454545454</v>
      </c>
      <c r="L27" t="inlineStr">
        <is>
          <t>🔴 CRITICAL: Deposits at 79.3% of target (Need ₹312Cr more) | ✅ Advances at 95.5% - Strong performance | 🔴 CRITICAL: NPA at 10.28% - Immediate action needed</t>
        </is>
      </c>
      <c r="M27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27" t="inlineStr">
        <is>
          <t>2</t>
        </is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inlineStr">
        <is>
          <t>C</t>
        </is>
      </c>
      <c r="E28" t="n">
        <v>57.1</v>
      </c>
      <c r="F28" t="n">
        <v>374.38</v>
      </c>
      <c r="G28" t="n">
        <v>416.9</v>
      </c>
      <c r="H28" t="n">
        <v>1409.92</v>
      </c>
      <c r="I28" t="n">
        <v>1750.97</v>
      </c>
      <c r="J28" t="n">
        <v>9.369999999999999</v>
      </c>
      <c r="K28" t="n">
        <v>2.160263157894737</v>
      </c>
      <c r="L28" t="inlineStr">
        <is>
          <t>🟡 Deposits at 89.8% - Need push (₹43Cr gap) | 🔴 CRITICAL: Advances at 80.5% (Need ₹341Cr) | 🔴 CRITICAL: NPA at 9.37% - Immediate action needed</t>
        </is>
      </c>
      <c r="M28" t="inlineStr">
        <is>
          <t>Intensify retail deposit campaigns | Focus on salary account acquisition | URGENT: Accelerate loan disbursement | Focus on MSME and Agriculture loans | Organize loan camps (2 per month)</t>
        </is>
      </c>
      <c r="N28" t="inlineStr">
        <is>
          <t>3</t>
        </is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inlineStr">
        <is>
          <t>B</t>
        </is>
      </c>
      <c r="E29" t="n">
        <v>74.3</v>
      </c>
      <c r="F29" t="n">
        <v>1780.37</v>
      </c>
      <c r="G29" t="n">
        <v>1272.92</v>
      </c>
      <c r="H29" t="n">
        <v>2278.33</v>
      </c>
      <c r="I29" t="n">
        <v>2949.93</v>
      </c>
      <c r="J29" t="n">
        <v>6.36</v>
      </c>
      <c r="K29" t="n">
        <v>11.92636363636364</v>
      </c>
      <c r="L29" t="inlineStr">
        <is>
          <t>✅ Deposits at 139.9% - On track | 🔴 CRITICAL: Advances at 77.2% (Need ₹672Cr) | 🔴 CRITICAL: NPA at 6.36% - Immediate action needed</t>
        </is>
      </c>
      <c r="M29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29" t="inlineStr">
        <is>
          <t>2</t>
        </is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inlineStr">
        <is>
          <t>B</t>
        </is>
      </c>
      <c r="E30" t="n">
        <v>73.90000000000001</v>
      </c>
      <c r="F30" t="n">
        <v>375.58</v>
      </c>
      <c r="G30" t="n">
        <v>318.85</v>
      </c>
      <c r="H30" t="n">
        <v>1503.02</v>
      </c>
      <c r="I30" t="n">
        <v>1988.13</v>
      </c>
      <c r="J30" t="n">
        <v>7.85</v>
      </c>
      <c r="K30" t="n">
        <v>29.00384615384615</v>
      </c>
      <c r="L30" t="inlineStr">
        <is>
          <t>✅ Deposits at 117.8% - On track | 🔴 CRITICAL: Advances at 75.6% (Need ₹485Cr) | 🔴 CRITICAL: NPA at 7.85% - Immediate action needed</t>
        </is>
      </c>
      <c r="M30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30" t="inlineStr">
        <is>
          <t>2</t>
        </is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inlineStr">
        <is>
          <t>B</t>
        </is>
      </c>
      <c r="E31" t="n">
        <v>76.09999999999999</v>
      </c>
      <c r="F31" t="n">
        <v>2757.05</v>
      </c>
      <c r="G31" t="n">
        <v>2612.72</v>
      </c>
      <c r="H31" t="n">
        <v>1391.22</v>
      </c>
      <c r="I31" t="n">
        <v>1652.09</v>
      </c>
      <c r="J31" t="n">
        <v>11.67</v>
      </c>
      <c r="K31" t="n">
        <v>18.01772727272727</v>
      </c>
      <c r="L31" t="inlineStr">
        <is>
          <t>✅ Deposits at 105.5% - On track | 🔴 CRITICAL: Advances at 84.2% (Need ₹261Cr) | 🔴 CRITICAL: NPA at 11.67% - Immediate action needed</t>
        </is>
      </c>
      <c r="M31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31" t="inlineStr">
        <is>
          <t>2</t>
        </is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inlineStr">
        <is>
          <t>B</t>
        </is>
      </c>
      <c r="E32" t="n">
        <v>68.3</v>
      </c>
      <c r="F32" t="n">
        <v>1735.93</v>
      </c>
      <c r="G32" t="n">
        <v>1851.29</v>
      </c>
      <c r="H32" t="n">
        <v>248.63</v>
      </c>
      <c r="I32" t="n">
        <v>268.54</v>
      </c>
      <c r="J32" t="n">
        <v>10.98</v>
      </c>
      <c r="K32" t="n">
        <v>3.162916666666666</v>
      </c>
      <c r="L32" t="inlineStr">
        <is>
          <t>🟡 Deposits at 93.8% - Need push (₹115Cr gap) | 🟡 Advances at 92.6% - Below target | 🔴 CRITICAL: NPA at 10.98% - Immediate action needed</t>
        </is>
      </c>
      <c r="M32" t="inlineStr">
        <is>
          <t>Intensify retail deposit campaigns | Focus on salary account acquisition | Push quality credit growth | Tap MSME sector opportunities | URGENT: Constitute daily recovery task force</t>
        </is>
      </c>
      <c r="N32" t="inlineStr">
        <is>
          <t>2</t>
        </is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inlineStr">
        <is>
          <t>C</t>
        </is>
      </c>
      <c r="E33" t="n">
        <v>59.8</v>
      </c>
      <c r="F33" t="n">
        <v>1578.43</v>
      </c>
      <c r="G33" t="n">
        <v>1906.17</v>
      </c>
      <c r="H33" t="n">
        <v>1646.84</v>
      </c>
      <c r="I33" t="n">
        <v>1637.76</v>
      </c>
      <c r="J33" t="n">
        <v>11.09</v>
      </c>
      <c r="K33" t="n">
        <v>0.7362337662337662</v>
      </c>
      <c r="L33" t="inlineStr">
        <is>
          <t>🔴 CRITICAL: Deposits at 82.8% of target (Need ₹328Cr more) | ✅ Advances at 100.6% - Strong performance | 🔴 CRITICAL: NPA at 11.09% - Immediate action needed</t>
        </is>
      </c>
      <c r="M33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33" t="inlineStr">
        <is>
          <t>2</t>
        </is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inlineStr">
        <is>
          <t>A</t>
        </is>
      </c>
      <c r="E34" t="n">
        <v>80</v>
      </c>
      <c r="F34" t="n">
        <v>453.42</v>
      </c>
      <c r="G34" t="n">
        <v>378.11</v>
      </c>
      <c r="H34" t="n">
        <v>309.72</v>
      </c>
      <c r="I34" t="n">
        <v>255</v>
      </c>
      <c r="J34" t="n">
        <v>10.76</v>
      </c>
      <c r="K34" t="n">
        <v>6.636935483870968</v>
      </c>
      <c r="L34" t="inlineStr">
        <is>
          <t>✅ Deposits at 119.9% - On track | ✅ Advances at 121.5% - Strong performance | 🔴 CRITICAL: NPA at 10.76% - Immediate action needed</t>
        </is>
      </c>
      <c r="M34" t="inlineStr">
        <is>
          <t>Maintain momentum through customer engagement | URGENT: Constitute daily recovery task force | Legal action on top 5 defaulters | Offer OTS schemes to stressed accounts</t>
        </is>
      </c>
      <c r="N34" t="inlineStr">
        <is>
          <t>1</t>
        </is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inlineStr">
        <is>
          <t>B</t>
        </is>
      </c>
      <c r="E35" t="n">
        <v>71.7</v>
      </c>
      <c r="F35" t="n">
        <v>1179.16</v>
      </c>
      <c r="G35" t="n">
        <v>1628.84</v>
      </c>
      <c r="H35" t="n">
        <v>1775.96</v>
      </c>
      <c r="I35" t="n">
        <v>1597.57</v>
      </c>
      <c r="J35" t="n">
        <v>7.36</v>
      </c>
      <c r="K35" t="n">
        <v>5.217714285714286</v>
      </c>
      <c r="L35" t="inlineStr">
        <is>
          <t>🔴 CRITICAL: Deposits at 72.4% of target (Need ₹450Cr more) | ✅ Advances at 111.2% - Strong performance | 🔴 CRITICAL: NPA at 7.36% - Immediate action needed</t>
        </is>
      </c>
      <c r="M35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35" t="inlineStr">
        <is>
          <t>2</t>
        </is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inlineStr">
        <is>
          <t>C</t>
        </is>
      </c>
      <c r="E36" t="n">
        <v>59.4</v>
      </c>
      <c r="F36" t="n">
        <v>2842.05</v>
      </c>
      <c r="G36" t="n">
        <v>3380.48</v>
      </c>
      <c r="H36" t="n">
        <v>2478.99</v>
      </c>
      <c r="I36" t="n">
        <v>3610.98</v>
      </c>
      <c r="J36" t="n">
        <v>11.84</v>
      </c>
      <c r="K36" t="n">
        <v>3.34952380952381</v>
      </c>
      <c r="L36" t="inlineStr">
        <is>
          <t>🔴 CRITICAL: Deposits at 84.1% of target (Need ₹538Cr more) | 🔴 CRITICAL: Advances at 68.7% (Need ₹1132Cr) | 🔴 CRITICAL: NPA at 11.84% - Immediate action needed</t>
        </is>
      </c>
      <c r="M36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36" t="inlineStr">
        <is>
          <t>3</t>
        </is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inlineStr">
        <is>
          <t>B</t>
        </is>
      </c>
      <c r="E37" t="n">
        <v>78.3</v>
      </c>
      <c r="F37" t="n">
        <v>1359.38</v>
      </c>
      <c r="G37" t="n">
        <v>1252.24</v>
      </c>
      <c r="H37" t="n">
        <v>1945</v>
      </c>
      <c r="I37" t="n">
        <v>2083.59</v>
      </c>
      <c r="J37" t="n">
        <v>11.08</v>
      </c>
      <c r="K37" t="n">
        <v>16.1876</v>
      </c>
      <c r="L37" t="inlineStr">
        <is>
          <t>✅ Deposits at 108.6% - On track | 🟡 Advances at 93.3% - Below target | 🔴 CRITICAL: NPA at 11.08% - Immediate action needed</t>
        </is>
      </c>
      <c r="M37" t="inlineStr">
        <is>
          <t>Maintain momentum through customer engagement | Push quality credit growth | Tap MSME sector opportunities | URGENT: Constitute daily recovery task force | Legal action on top 5 defaulters</t>
        </is>
      </c>
      <c r="N37" t="inlineStr">
        <is>
          <t>1</t>
        </is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inlineStr">
        <is>
          <t>A</t>
        </is>
      </c>
      <c r="E38" t="n">
        <v>86.09999999999999</v>
      </c>
      <c r="F38" t="n">
        <v>2836.66</v>
      </c>
      <c r="G38" t="n">
        <v>3263.35</v>
      </c>
      <c r="H38" t="n">
        <v>1152.08</v>
      </c>
      <c r="I38" t="n">
        <v>1082.76</v>
      </c>
      <c r="J38" t="n">
        <v>3.46</v>
      </c>
      <c r="K38" t="n">
        <v>7.662500000000001</v>
      </c>
      <c r="L38" t="inlineStr">
        <is>
          <t>🟡 Deposits at 86.9% - Need push (₹427Cr gap) | ✅ Advances at 106.4% - Strong performance | 🟡 NPA at 3.46% - High stress zone</t>
        </is>
      </c>
      <c r="M38" t="inlineStr">
        <is>
          <t>Intensify retail deposit campaigns | Focus on salary account acquisition | Aggressive recovery campaigns | Weekly recovery review meetings</t>
        </is>
      </c>
      <c r="N38" t="inlineStr">
        <is>
          <t>2</t>
        </is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inlineStr">
        <is>
          <t>B</t>
        </is>
      </c>
      <c r="E39" t="n">
        <v>75</v>
      </c>
      <c r="F39" t="n">
        <v>2689.32</v>
      </c>
      <c r="G39" t="n">
        <v>2188.99</v>
      </c>
      <c r="H39" t="n">
        <v>1936.37</v>
      </c>
      <c r="I39" t="n">
        <v>1777.17</v>
      </c>
      <c r="J39" t="n">
        <v>5.08</v>
      </c>
      <c r="K39" t="n">
        <v>2.089782608695652</v>
      </c>
      <c r="L39" t="inlineStr">
        <is>
          <t>✅ Deposits at 122.9% - On track | ✅ Advances at 109.0% - Strong performance | 🟡 NPA at 5.08% - High stress zone</t>
        </is>
      </c>
      <c r="M39" t="inlineStr">
        <is>
          <t>Maintain momentum through customer engagement | Aggressive recovery campaigns | Weekly recovery review meetings | Enhance cross-selling | Reduce operating costs</t>
        </is>
      </c>
      <c r="N39" t="inlineStr">
        <is>
          <t>1</t>
        </is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inlineStr">
        <is>
          <t>B</t>
        </is>
      </c>
      <c r="E40" t="n">
        <v>79.90000000000001</v>
      </c>
      <c r="F40" t="n">
        <v>548.92</v>
      </c>
      <c r="G40" t="n">
        <v>524.86</v>
      </c>
      <c r="H40" t="n">
        <v>1078.75</v>
      </c>
      <c r="I40" t="n">
        <v>1180.16</v>
      </c>
      <c r="J40" t="n">
        <v>4.98</v>
      </c>
      <c r="K40" t="n">
        <v>4.007464788732394</v>
      </c>
      <c r="L40" t="inlineStr">
        <is>
          <t>✅ Deposits at 104.6% - On track | 🟡 Advances at 91.4% - Below target | 🟡 NPA at 4.98% - High stress zone</t>
        </is>
      </c>
      <c r="M40" t="inlineStr">
        <is>
          <t>Maintain momentum through customer engagement | Push quality credit growth | Tap MSME sector opportunities | Aggressive recovery campaigns | Weekly recovery review meetings</t>
        </is>
      </c>
      <c r="N40" t="inlineStr">
        <is>
          <t>1</t>
        </is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inlineStr">
        <is>
          <t>B</t>
        </is>
      </c>
      <c r="E41" t="n">
        <v>75</v>
      </c>
      <c r="F41" t="n">
        <v>2894.09</v>
      </c>
      <c r="G41" t="n">
        <v>2254.48</v>
      </c>
      <c r="H41" t="n">
        <v>2588.23</v>
      </c>
      <c r="I41" t="n">
        <v>2384.83</v>
      </c>
      <c r="J41" t="n">
        <v>4.09</v>
      </c>
      <c r="K41" t="n">
        <v>0.9455172413793104</v>
      </c>
      <c r="L41" t="inlineStr">
        <is>
          <t>✅ Deposits at 128.4% - On track | ✅ Advances at 108.5% - Strong performance | 🟡 NPA at 4.09% - High stress zone</t>
        </is>
      </c>
      <c r="M41" t="inlineStr">
        <is>
          <t>Maintain momentum through customer engagement | Aggressive recovery campaigns | Weekly recovery review meetings | CRITICAL: Review cost structure | Staff productivity enhancement needed</t>
        </is>
      </c>
      <c r="N41" t="inlineStr">
        <is>
          <t>1</t>
        </is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inlineStr">
        <is>
          <t>A</t>
        </is>
      </c>
      <c r="E42" t="n">
        <v>92.40000000000001</v>
      </c>
      <c r="F42" t="n">
        <v>1030.2</v>
      </c>
      <c r="G42" t="n">
        <v>814.5700000000001</v>
      </c>
      <c r="H42" t="n">
        <v>1297.86</v>
      </c>
      <c r="I42" t="n">
        <v>1860.56</v>
      </c>
      <c r="J42" t="n">
        <v>2.52</v>
      </c>
      <c r="K42" t="n">
        <v>5.246075949367088</v>
      </c>
      <c r="L42" t="inlineStr">
        <is>
          <t>✅ Deposits at 126.5% - On track | 🔴 CRITICAL: Advances at 69.8% (Need ₹563Cr) | 🟢 NPA at 2.52% - Manageable</t>
        </is>
      </c>
      <c r="M42" t="inlineStr">
        <is>
          <t>Maintain momentum through customer engagement | URGENT: Accelerate loan disbursement | Focus on MSME and Agriculture loans | Organize loan camps (2 per month) | Continue monitoring stress accounts</t>
        </is>
      </c>
      <c r="N42" t="inlineStr">
        <is>
          <t>1</t>
        </is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inlineStr">
        <is>
          <t>B</t>
        </is>
      </c>
      <c r="E43" t="n">
        <v>73.5</v>
      </c>
      <c r="F43" t="n">
        <v>1635.45</v>
      </c>
      <c r="G43" t="n">
        <v>1519.23</v>
      </c>
      <c r="H43" t="n">
        <v>925.5599999999999</v>
      </c>
      <c r="I43" t="n">
        <v>1249.22</v>
      </c>
      <c r="J43" t="n">
        <v>12.59</v>
      </c>
      <c r="K43" t="n">
        <v>16.04125</v>
      </c>
      <c r="L43" t="inlineStr">
        <is>
          <t>✅ Deposits at 107.6% - On track | 🔴 CRITICAL: Advances at 74.1% (Need ₹324Cr) | 🔴 CRITICAL: NPA at 12.59% - Immediate action needed</t>
        </is>
      </c>
      <c r="M43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43" t="inlineStr">
        <is>
          <t>2</t>
        </is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inlineStr">
        <is>
          <t>C</t>
        </is>
      </c>
      <c r="E44" t="n">
        <v>58.7</v>
      </c>
      <c r="F44" t="n">
        <v>2012.99</v>
      </c>
      <c r="G44" t="n">
        <v>2538.66</v>
      </c>
      <c r="H44" t="n">
        <v>417.73</v>
      </c>
      <c r="I44" t="n">
        <v>581.55</v>
      </c>
      <c r="J44" t="n">
        <v>12.15</v>
      </c>
      <c r="K44" t="n">
        <v>4.278775510204081</v>
      </c>
      <c r="L44" t="inlineStr">
        <is>
          <t>🔴 CRITICAL: Deposits at 79.3% of target (Need ₹526Cr more) | 🔴 CRITICAL: Advances at 71.8% (Need ₹164Cr) | 🔴 CRITICAL: NPA at 12.15% - Immediate action needed</t>
        </is>
      </c>
      <c r="M44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44" t="inlineStr">
        <is>
          <t>3</t>
        </is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inlineStr">
        <is>
          <t>B</t>
        </is>
      </c>
      <c r="E45" t="n">
        <v>75.59999999999999</v>
      </c>
      <c r="F45" t="n">
        <v>2984.63</v>
      </c>
      <c r="G45" t="n">
        <v>2962.04</v>
      </c>
      <c r="H45" t="n">
        <v>2580.11</v>
      </c>
      <c r="I45" t="n">
        <v>3138.13</v>
      </c>
      <c r="J45" t="n">
        <v>13.16</v>
      </c>
      <c r="K45" t="n">
        <v>11.19102564102564</v>
      </c>
      <c r="L45" t="inlineStr">
        <is>
          <t>✅ Deposits at 100.8% - On track | 🔴 CRITICAL: Advances at 82.2% (Need ₹558Cr) | 🔴 CRITICAL: NPA at 13.16% - Immediate action needed</t>
        </is>
      </c>
      <c r="M45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45" t="inlineStr">
        <is>
          <t>2</t>
        </is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inlineStr">
        <is>
          <t>A</t>
        </is>
      </c>
      <c r="E46" t="n">
        <v>80</v>
      </c>
      <c r="F46" t="n">
        <v>436.03</v>
      </c>
      <c r="G46" t="n">
        <v>366.8</v>
      </c>
      <c r="H46" t="n">
        <v>1011.18</v>
      </c>
      <c r="I46" t="n">
        <v>989.7</v>
      </c>
      <c r="J46" t="n">
        <v>6.52</v>
      </c>
      <c r="K46" t="n">
        <v>7.64375</v>
      </c>
      <c r="L46" t="inlineStr">
        <is>
          <t>✅ Deposits at 118.9% - On track | ✅ Advances at 102.2% - Strong performance | 🔴 CRITICAL: NPA at 6.52% - Immediate action needed</t>
        </is>
      </c>
      <c r="M46" t="inlineStr">
        <is>
          <t>Maintain momentum through customer engagement | URGENT: Constitute daily recovery task force | Legal action on top 5 defaulters | Offer OTS schemes to stressed accounts</t>
        </is>
      </c>
      <c r="N46" t="inlineStr">
        <is>
          <t>1</t>
        </is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inlineStr">
        <is>
          <t>B</t>
        </is>
      </c>
      <c r="E47" t="n">
        <v>65</v>
      </c>
      <c r="F47" t="n">
        <v>1236.9</v>
      </c>
      <c r="G47" t="n">
        <v>881.5599999999999</v>
      </c>
      <c r="H47" t="n">
        <v>851.17</v>
      </c>
      <c r="I47" t="n">
        <v>648.17</v>
      </c>
      <c r="J47" t="n">
        <v>7.44</v>
      </c>
      <c r="K47" t="n">
        <v>1.874603174603175</v>
      </c>
      <c r="L47" t="inlineStr">
        <is>
          <t>✅ Deposits at 140.3% - On track | ✅ Advances at 131.3% - Strong performance | 🔴 CRITICAL: NPA at 7.44% - Immediate action needed</t>
        </is>
      </c>
      <c r="M47" t="inlineStr">
        <is>
          <t>Maintain momentum through customer engagement | URGENT: Constitute daily recovery task force | Legal action on top 5 defaulters | Offer OTS schemes to stressed accounts | CRITICAL: Review cost structure</t>
        </is>
      </c>
      <c r="N47" t="inlineStr">
        <is>
          <t>1</t>
        </is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inlineStr">
        <is>
          <t>B</t>
        </is>
      </c>
      <c r="E48" t="n">
        <v>70.90000000000001</v>
      </c>
      <c r="F48" t="n">
        <v>586.96</v>
      </c>
      <c r="G48" t="n">
        <v>747.34</v>
      </c>
      <c r="H48" t="n">
        <v>1323.66</v>
      </c>
      <c r="I48" t="n">
        <v>1484.16</v>
      </c>
      <c r="J48" t="n">
        <v>9.779999999999999</v>
      </c>
      <c r="K48" t="n">
        <v>9.025918367346938</v>
      </c>
      <c r="L48" t="inlineStr">
        <is>
          <t>🔴 CRITICAL: Deposits at 78.5% of target (Need ₹160Cr more) | 🟡 Advances at 89.2% - Below target | 🔴 CRITICAL: NPA at 9.78% - Immediate action needed</t>
        </is>
      </c>
      <c r="M48" t="inlineStr">
        <is>
          <t>URGENT: Launch deposit mobilization drive within 7 days | Target 5 new CASA accounts daily | Conduct customer meets in catchment area | Push quality credit growth | Tap MSME sector opportunities</t>
        </is>
      </c>
      <c r="N48" t="inlineStr">
        <is>
          <t>2</t>
        </is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inlineStr">
        <is>
          <t>C</t>
        </is>
      </c>
      <c r="E49" t="n">
        <v>57.8</v>
      </c>
      <c r="F49" t="n">
        <v>836.29</v>
      </c>
      <c r="G49" t="n">
        <v>1101.69</v>
      </c>
      <c r="H49" t="n">
        <v>2094.99</v>
      </c>
      <c r="I49" t="n">
        <v>1790.77</v>
      </c>
      <c r="J49" t="n">
        <v>11.8</v>
      </c>
      <c r="K49" t="n">
        <v>0.1891860465116279</v>
      </c>
      <c r="L49" t="inlineStr">
        <is>
          <t>🔴 CRITICAL: Deposits at 75.9% of target (Need ₹265Cr more) | ✅ Advances at 117.0% - Strong performance | 🔴 CRITICAL: NPA at 11.8% - Immediate action needed</t>
        </is>
      </c>
      <c r="M49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49" t="inlineStr">
        <is>
          <t>2</t>
        </is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inlineStr">
        <is>
          <t>A</t>
        </is>
      </c>
      <c r="E50" t="n">
        <v>80</v>
      </c>
      <c r="F50" t="n">
        <v>2300.4</v>
      </c>
      <c r="G50" t="n">
        <v>2021.86</v>
      </c>
      <c r="H50" t="n">
        <v>624.4400000000001</v>
      </c>
      <c r="I50" t="n">
        <v>507.9</v>
      </c>
      <c r="J50" t="n">
        <v>8.58</v>
      </c>
      <c r="K50" t="n">
        <v>28.61636363636363</v>
      </c>
      <c r="L50" t="inlineStr">
        <is>
          <t>✅ Deposits at 113.8% - On track | ✅ Advances at 122.9% - Strong performance | 🔴 CRITICAL: NPA at 8.58% - Immediate action needed</t>
        </is>
      </c>
      <c r="M50" t="inlineStr">
        <is>
          <t>Maintain momentum through customer engagement | URGENT: Constitute daily recovery task force | Legal action on top 5 defaulters | Offer OTS schemes to stressed accounts</t>
        </is>
      </c>
      <c r="N50" t="inlineStr">
        <is>
          <t>1</t>
        </is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inlineStr">
        <is>
          <t>A</t>
        </is>
      </c>
      <c r="E51" t="n">
        <v>90</v>
      </c>
      <c r="F51" t="n">
        <v>1540.52</v>
      </c>
      <c r="G51" t="n">
        <v>1248.24</v>
      </c>
      <c r="H51" t="n">
        <v>1359.14</v>
      </c>
      <c r="I51" t="n">
        <v>1287.69</v>
      </c>
      <c r="J51" t="n">
        <v>3.8</v>
      </c>
      <c r="K51" t="n">
        <v>9.664222222222222</v>
      </c>
      <c r="L51" t="inlineStr">
        <is>
          <t>✅ Deposits at 123.4% - On track | ✅ Advances at 105.5% - Strong performance | 🟡 NPA at 3.8% - High stress zone</t>
        </is>
      </c>
      <c r="M51" t="inlineStr">
        <is>
          <t>Maintain momentum through customer engagement | Aggressive recovery campaigns | Weekly recovery review meetings</t>
        </is>
      </c>
      <c r="N51" t="inlineStr">
        <is>
          <t>1</t>
        </is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inlineStr">
        <is>
          <t>A</t>
        </is>
      </c>
      <c r="E52" t="n">
        <v>90</v>
      </c>
      <c r="F52" t="n">
        <v>888.24</v>
      </c>
      <c r="G52" t="n">
        <v>735.53</v>
      </c>
      <c r="H52" t="n">
        <v>1071.87</v>
      </c>
      <c r="I52" t="n">
        <v>871.34</v>
      </c>
      <c r="J52" t="n">
        <v>3.85</v>
      </c>
      <c r="K52" t="n">
        <v>20.67882352941177</v>
      </c>
      <c r="L52" t="inlineStr">
        <is>
          <t>✅ Deposits at 120.8% - On track | ✅ Advances at 123.0% - Strong performance | 🟡 NPA at 3.85% - High stress zone</t>
        </is>
      </c>
      <c r="M52" t="inlineStr">
        <is>
          <t>Maintain momentum through customer engagement | Aggressive recovery campaigns | Weekly recovery review meetings</t>
        </is>
      </c>
      <c r="N52" t="inlineStr">
        <is>
          <t>1</t>
        </is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inlineStr">
        <is>
          <t>B</t>
        </is>
      </c>
      <c r="E53" t="n">
        <v>75</v>
      </c>
      <c r="F53" t="n">
        <v>1013.26</v>
      </c>
      <c r="G53" t="n">
        <v>772.9400000000001</v>
      </c>
      <c r="H53" t="n">
        <v>1238.73</v>
      </c>
      <c r="I53" t="n">
        <v>967.76</v>
      </c>
      <c r="J53" t="n">
        <v>4.61</v>
      </c>
      <c r="K53" t="n">
        <v>1.4055</v>
      </c>
      <c r="L53" t="inlineStr">
        <is>
          <t>✅ Deposits at 131.1% - On track | ✅ Advances at 128.0% - Strong performance | 🟡 NPA at 4.61% - High stress zone</t>
        </is>
      </c>
      <c r="M53" t="inlineStr">
        <is>
          <t>Maintain momentum through customer engagement | Aggressive recovery campaigns | Weekly recovery review meetings | CRITICAL: Review cost structure | Staff productivity enhancement needed</t>
        </is>
      </c>
      <c r="N53" t="inlineStr">
        <is>
          <t>1</t>
        </is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inlineStr">
        <is>
          <t>C</t>
        </is>
      </c>
      <c r="E54" t="n">
        <v>57.7</v>
      </c>
      <c r="F54" t="n">
        <v>2885.62</v>
      </c>
      <c r="G54" t="n">
        <v>3743.44</v>
      </c>
      <c r="H54" t="n">
        <v>603.66</v>
      </c>
      <c r="I54" t="n">
        <v>856.96</v>
      </c>
      <c r="J54" t="n">
        <v>10.82</v>
      </c>
      <c r="K54" t="n">
        <v>4.740579710144928</v>
      </c>
      <c r="L54" t="inlineStr">
        <is>
          <t>🔴 CRITICAL: Deposits at 77.1% of target (Need ₹858Cr more) | 🔴 CRITICAL: Advances at 70.4% (Need ₹253Cr) | 🔴 CRITICAL: NPA at 10.82% - Immediate action needed</t>
        </is>
      </c>
      <c r="M54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54" t="inlineStr">
        <is>
          <t>3</t>
        </is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inlineStr">
        <is>
          <t>B</t>
        </is>
      </c>
      <c r="E55" t="n">
        <v>74.90000000000001</v>
      </c>
      <c r="F55" t="n">
        <v>703.55</v>
      </c>
      <c r="G55" t="n">
        <v>849.12</v>
      </c>
      <c r="H55" t="n">
        <v>1872.37</v>
      </c>
      <c r="I55" t="n">
        <v>1465.77</v>
      </c>
      <c r="J55" t="n">
        <v>10.41</v>
      </c>
      <c r="K55" t="n">
        <v>15.97304347826087</v>
      </c>
      <c r="L55" t="inlineStr">
        <is>
          <t>🔴 CRITICAL: Deposits at 82.9% of target (Need ₹146Cr more) | ✅ Advances at 127.7% - Strong performance | 🔴 CRITICAL: NPA at 10.41% - Immediate action needed</t>
        </is>
      </c>
      <c r="M55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55" t="inlineStr">
        <is>
          <t>2</t>
        </is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inlineStr">
        <is>
          <t>B</t>
        </is>
      </c>
      <c r="E56" t="n">
        <v>72.8</v>
      </c>
      <c r="F56" t="n">
        <v>2756.7</v>
      </c>
      <c r="G56" t="n">
        <v>3382.49</v>
      </c>
      <c r="H56" t="n">
        <v>1678.05</v>
      </c>
      <c r="I56" t="n">
        <v>2281.61</v>
      </c>
      <c r="J56" t="n">
        <v>1.65</v>
      </c>
      <c r="K56" t="n">
        <v>0.3266666666666667</v>
      </c>
      <c r="L56" t="inlineStr">
        <is>
          <t>🔴 CRITICAL: Deposits at 81.5% of target (Need ₹626Cr more) | 🔴 CRITICAL: Advances at 73.5% (Need ₹604Cr) | 🟢 NPA at 1.65% - Manageable</t>
        </is>
      </c>
      <c r="M56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56" t="inlineStr">
        <is>
          <t>2</t>
        </is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inlineStr">
        <is>
          <t>C</t>
        </is>
      </c>
      <c r="E57" t="n">
        <v>61.4</v>
      </c>
      <c r="F57" t="n">
        <v>1273.91</v>
      </c>
      <c r="G57" t="n">
        <v>985.29</v>
      </c>
      <c r="H57" t="n">
        <v>2373.14</v>
      </c>
      <c r="I57" t="n">
        <v>2773.95</v>
      </c>
      <c r="J57" t="n">
        <v>7.11</v>
      </c>
      <c r="K57" t="n">
        <v>0.8185714285714286</v>
      </c>
      <c r="L57" t="inlineStr">
        <is>
          <t>✅ Deposits at 129.3% - On track | 🟡 Advances at 85.6% - Below target | 🔴 CRITICAL: NPA at 7.11% - Immediate action needed</t>
        </is>
      </c>
      <c r="M57" t="inlineStr">
        <is>
          <t>Maintain momentum through customer engagement | Push quality credit growth | Tap MSME sector opportunities | URGENT: Constitute daily recovery task force | Legal action on top 5 defaulters</t>
        </is>
      </c>
      <c r="N57" t="inlineStr">
        <is>
          <t>1</t>
        </is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inlineStr">
        <is>
          <t>B</t>
        </is>
      </c>
      <c r="E58" t="n">
        <v>68.59999999999999</v>
      </c>
      <c r="F58" t="n">
        <v>2320.32</v>
      </c>
      <c r="G58" t="n">
        <v>2441.16</v>
      </c>
      <c r="H58" t="n">
        <v>1591.52</v>
      </c>
      <c r="I58" t="n">
        <v>1980.61</v>
      </c>
      <c r="J58" t="n">
        <v>3.9</v>
      </c>
      <c r="K58" t="n">
        <v>1.096410256410256</v>
      </c>
      <c r="L58" t="inlineStr">
        <is>
          <t>✅ Deposits at 95.0% - On track | 🔴 CRITICAL: Advances at 80.4% (Need ₹389Cr) | 🟡 NPA at 3.9% - High stress zone</t>
        </is>
      </c>
      <c r="M58" t="inlineStr">
        <is>
          <t>Maintain momentum through customer engagement | URGENT: Accelerate loan disbursement | Focus on MSME and Agriculture loans | Organize loan camps (2 per month) | Aggressive recovery campaigns</t>
        </is>
      </c>
      <c r="N58" t="inlineStr">
        <is>
          <t>2</t>
        </is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inlineStr">
        <is>
          <t>C</t>
        </is>
      </c>
      <c r="E59" t="n">
        <v>54.6</v>
      </c>
      <c r="F59" t="n">
        <v>933.92</v>
      </c>
      <c r="G59" t="n">
        <v>1148.26</v>
      </c>
      <c r="H59" t="n">
        <v>799.91</v>
      </c>
      <c r="I59" t="n">
        <v>989.85</v>
      </c>
      <c r="J59" t="n">
        <v>11.91</v>
      </c>
      <c r="K59" t="n">
        <v>1.042142857142857</v>
      </c>
      <c r="L59" t="inlineStr">
        <is>
          <t>🔴 CRITICAL: Deposits at 81.3% of target (Need ₹214Cr more) | 🔴 CRITICAL: Advances at 80.8% (Need ₹190Cr) | 🔴 CRITICAL: NPA at 11.91% - Immediate action needed</t>
        </is>
      </c>
      <c r="M59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59" t="inlineStr">
        <is>
          <t>3</t>
        </is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inlineStr">
        <is>
          <t>A</t>
        </is>
      </c>
      <c r="E60" t="n">
        <v>86.5</v>
      </c>
      <c r="F60" t="n">
        <v>2370.82</v>
      </c>
      <c r="G60" t="n">
        <v>2683.49</v>
      </c>
      <c r="H60" t="n">
        <v>1871.18</v>
      </c>
      <c r="I60" t="n">
        <v>1512.11</v>
      </c>
      <c r="J60" t="n">
        <v>3.93</v>
      </c>
      <c r="K60" t="n">
        <v>7.659545454545454</v>
      </c>
      <c r="L60" t="inlineStr">
        <is>
          <t>🟡 Deposits at 88.3% - Need push (₹313Cr gap) | ✅ Advances at 123.7% - Strong performance | 🟡 NPA at 3.93% - High stress zone</t>
        </is>
      </c>
      <c r="M60" t="inlineStr">
        <is>
          <t>Intensify retail deposit campaigns | Focus on salary account acquisition | Aggressive recovery campaigns | Weekly recovery review meetings</t>
        </is>
      </c>
      <c r="N60" t="inlineStr">
        <is>
          <t>2</t>
        </is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inlineStr">
        <is>
          <t>C</t>
        </is>
      </c>
      <c r="E61" t="n">
        <v>62.4</v>
      </c>
      <c r="F61" t="n">
        <v>1977.11</v>
      </c>
      <c r="G61" t="n">
        <v>1568.66</v>
      </c>
      <c r="H61" t="n">
        <v>1454.29</v>
      </c>
      <c r="I61" t="n">
        <v>1620.59</v>
      </c>
      <c r="J61" t="n">
        <v>9.619999999999999</v>
      </c>
      <c r="K61" t="n">
        <v>1.916388888888889</v>
      </c>
      <c r="L61" t="inlineStr">
        <is>
          <t>✅ Deposits at 126.0% - On track | 🟡 Advances at 89.7% - Below target | 🔴 CRITICAL: NPA at 9.62% - Immediate action needed</t>
        </is>
      </c>
      <c r="M61" t="inlineStr">
        <is>
          <t>Maintain momentum through customer engagement | Push quality credit growth | Tap MSME sector opportunities | URGENT: Constitute daily recovery task force | Legal action on top 5 defaulters</t>
        </is>
      </c>
      <c r="N61" t="inlineStr">
        <is>
          <t>1</t>
        </is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inlineStr">
        <is>
          <t>B</t>
        </is>
      </c>
      <c r="E62" t="n">
        <v>66</v>
      </c>
      <c r="F62" t="n">
        <v>1070.97</v>
      </c>
      <c r="G62" t="n">
        <v>1098.95</v>
      </c>
      <c r="H62" t="n">
        <v>2194.64</v>
      </c>
      <c r="I62" t="n">
        <v>3280.93</v>
      </c>
      <c r="J62" t="n">
        <v>4.71</v>
      </c>
      <c r="K62" t="n">
        <v>0.723939393939394</v>
      </c>
      <c r="L62" t="inlineStr">
        <is>
          <t>✅ Deposits at 97.5% - On track | 🔴 CRITICAL: Advances at 66.9% (Need ₹1086Cr) | 🟡 NPA at 4.71% - High stress zone</t>
        </is>
      </c>
      <c r="M62" t="inlineStr">
        <is>
          <t>Maintain momentum through customer engagement | URGENT: Accelerate loan disbursement | Focus on MSME and Agriculture loans | Organize loan camps (2 per month) | Aggressive recovery campaigns</t>
        </is>
      </c>
      <c r="N62" t="inlineStr">
        <is>
          <t>2</t>
        </is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inlineStr">
        <is>
          <t>A</t>
        </is>
      </c>
      <c r="E63" t="n">
        <v>81.3</v>
      </c>
      <c r="F63" t="n">
        <v>347.26</v>
      </c>
      <c r="G63" t="n">
        <v>354.65</v>
      </c>
      <c r="H63" t="n">
        <v>2331.73</v>
      </c>
      <c r="I63" t="n">
        <v>3441.82</v>
      </c>
      <c r="J63" t="n">
        <v>5.72</v>
      </c>
      <c r="K63" t="n">
        <v>12.915</v>
      </c>
      <c r="L63" t="inlineStr">
        <is>
          <t>✅ Deposits at 97.9% - On track | 🔴 CRITICAL: Advances at 67.7% (Need ₹1110Cr) | 🟡 NPA at 5.72% - High stress zone</t>
        </is>
      </c>
      <c r="M63" t="inlineStr">
        <is>
          <t>Maintain momentum through customer engagement | URGENT: Accelerate loan disbursement | Focus on MSME and Agriculture loans | Organize loan camps (2 per month) | Aggressive recovery campaigns</t>
        </is>
      </c>
      <c r="N63" t="inlineStr">
        <is>
          <t>2</t>
        </is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inlineStr">
        <is>
          <t>A</t>
        </is>
      </c>
      <c r="E64" t="n">
        <v>80</v>
      </c>
      <c r="F64" t="n">
        <v>501.45</v>
      </c>
      <c r="G64" t="n">
        <v>382.71</v>
      </c>
      <c r="H64" t="n">
        <v>2143.46</v>
      </c>
      <c r="I64" t="n">
        <v>2028.48</v>
      </c>
      <c r="J64" t="n">
        <v>8.65</v>
      </c>
      <c r="K64" t="n">
        <v>7.022682926829268</v>
      </c>
      <c r="L64" t="inlineStr">
        <is>
          <t>✅ Deposits at 131.0% - On track | ✅ Advances at 105.7% - Strong performance | 🔴 CRITICAL: NPA at 8.65% - Immediate action needed</t>
        </is>
      </c>
      <c r="M64" t="inlineStr">
        <is>
          <t>Maintain momentum through customer engagement | URGENT: Constitute daily recovery task force | Legal action on top 5 defaulters | Offer OTS schemes to stressed accounts</t>
        </is>
      </c>
      <c r="N64" t="inlineStr">
        <is>
          <t>1</t>
        </is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inlineStr">
        <is>
          <t>B</t>
        </is>
      </c>
      <c r="E65" t="n">
        <v>72.7</v>
      </c>
      <c r="F65" t="n">
        <v>2694.53</v>
      </c>
      <c r="G65" t="n">
        <v>3212.78</v>
      </c>
      <c r="H65" t="n">
        <v>801.6</v>
      </c>
      <c r="I65" t="n">
        <v>1140.9</v>
      </c>
      <c r="J65" t="n">
        <v>0.84</v>
      </c>
      <c r="K65" t="n">
        <v>0.1702941176470588</v>
      </c>
      <c r="L65" t="inlineStr">
        <is>
          <t>🔴 CRITICAL: Deposits at 83.9% of target (Need ₹518Cr more) | 🔴 CRITICAL: Advances at 70.3% (Need ₹339Cr) | ✅ NPA at 0.84% - Excellent asset quality</t>
        </is>
      </c>
      <c r="M65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65" t="inlineStr">
        <is>
          <t>2</t>
        </is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inlineStr">
        <is>
          <t>A</t>
        </is>
      </c>
      <c r="E66" t="n">
        <v>90.5</v>
      </c>
      <c r="F66" t="n">
        <v>2140.29</v>
      </c>
      <c r="G66" t="n">
        <v>2105.6</v>
      </c>
      <c r="H66" t="n">
        <v>2090.68</v>
      </c>
      <c r="I66" t="n">
        <v>2220.59</v>
      </c>
      <c r="J66" t="n">
        <v>2.13</v>
      </c>
      <c r="K66" t="n">
        <v>3.314468085106383</v>
      </c>
      <c r="L66" t="inlineStr">
        <is>
          <t>✅ Deposits at 101.6% - On track | 🟡 Advances at 94.1% - Below target | 🟢 NPA at 2.13% - Manageable</t>
        </is>
      </c>
      <c r="M66" t="inlineStr">
        <is>
          <t>Maintain momentum through customer engagement | Push quality credit growth | Tap MSME sector opportunities | Continue monitoring stress accounts</t>
        </is>
      </c>
      <c r="N66" t="inlineStr">
        <is>
          <t>1</t>
        </is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inlineStr">
        <is>
          <t>C</t>
        </is>
      </c>
      <c r="E67" t="n">
        <v>60.6</v>
      </c>
      <c r="F67" t="n">
        <v>2326.98</v>
      </c>
      <c r="G67" t="n">
        <v>2995.7</v>
      </c>
      <c r="H67" t="n">
        <v>512.11</v>
      </c>
      <c r="I67" t="n">
        <v>739.9</v>
      </c>
      <c r="J67" t="n">
        <v>3.92</v>
      </c>
      <c r="K67" t="n">
        <v>0.7016363636363637</v>
      </c>
      <c r="L67" t="inlineStr">
        <is>
          <t>🔴 CRITICAL: Deposits at 77.7% of target (Need ₹669Cr more) | 🔴 CRITICAL: Advances at 69.2% (Need ₹228Cr) | 🟡 NPA at 3.92% - High stress zone</t>
        </is>
      </c>
      <c r="M67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67" t="inlineStr">
        <is>
          <t>3</t>
        </is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inlineStr">
        <is>
          <t>B</t>
        </is>
      </c>
      <c r="E68" t="n">
        <v>70.3</v>
      </c>
      <c r="F68" t="n">
        <v>2996.74</v>
      </c>
      <c r="G68" t="n">
        <v>3333.64</v>
      </c>
      <c r="H68" t="n">
        <v>1137.84</v>
      </c>
      <c r="I68" t="n">
        <v>1218.67</v>
      </c>
      <c r="J68" t="n">
        <v>4.29</v>
      </c>
      <c r="K68" t="n">
        <v>0.3634444444444445</v>
      </c>
      <c r="L68" t="inlineStr">
        <is>
          <t>🟡 Deposits at 89.9% - Need push (₹337Cr gap) | 🟡 Advances at 93.4% - Below target | 🟡 NPA at 4.29% - High stress zone</t>
        </is>
      </c>
      <c r="M68" t="inlineStr">
        <is>
          <t>Intensify retail deposit campaigns | Focus on salary account acquisition | Push quality credit growth | Tap MSME sector opportunities | Aggressive recovery campaigns</t>
        </is>
      </c>
      <c r="N68" t="inlineStr">
        <is>
          <t>2</t>
        </is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inlineStr">
        <is>
          <t>B</t>
        </is>
      </c>
      <c r="E69" t="n">
        <v>67.09999999999999</v>
      </c>
      <c r="F69" t="n">
        <v>1071.18</v>
      </c>
      <c r="G69" t="n">
        <v>1451.36</v>
      </c>
      <c r="H69" t="n">
        <v>848.24</v>
      </c>
      <c r="I69" t="n">
        <v>805.23</v>
      </c>
      <c r="J69" t="n">
        <v>3.06</v>
      </c>
      <c r="K69" t="n">
        <v>2.9045</v>
      </c>
      <c r="L69" t="inlineStr">
        <is>
          <t>🔴 CRITICAL: Deposits at 73.8% of target (Need ₹380Cr more) | ✅ Advances at 105.3% - Strong performance | 🟡 NPA at 3.06% - High stress zone</t>
        </is>
      </c>
      <c r="M69" t="inlineStr">
        <is>
          <t>URGENT: Launch deposit mobilization drive within 7 days | Target 5 new CASA accounts daily | Conduct customer meets in catchment area | Aggressive recovery campaigns | Weekly recovery review meetings</t>
        </is>
      </c>
      <c r="N69" t="inlineStr">
        <is>
          <t>2</t>
        </is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inlineStr">
        <is>
          <t>C</t>
        </is>
      </c>
      <c r="E70" t="n">
        <v>51.1</v>
      </c>
      <c r="F70" t="n">
        <v>2687.52</v>
      </c>
      <c r="G70" t="n">
        <v>3408.78</v>
      </c>
      <c r="H70" t="n">
        <v>1840.33</v>
      </c>
      <c r="I70" t="n">
        <v>2641</v>
      </c>
      <c r="J70" t="n">
        <v>10.21</v>
      </c>
      <c r="K70" t="n">
        <v>0.5477586206896552</v>
      </c>
      <c r="L70" t="inlineStr">
        <is>
          <t>🔴 CRITICAL: Deposits at 78.8% of target (Need ₹721Cr more) | 🔴 CRITICAL: Advances at 69.7% (Need ₹801Cr) | 🔴 CRITICAL: NPA at 10.21% - Immediate action needed</t>
        </is>
      </c>
      <c r="M70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70" t="inlineStr">
        <is>
          <t>3</t>
        </is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inlineStr">
        <is>
          <t>A</t>
        </is>
      </c>
      <c r="E71" t="n">
        <v>86.5</v>
      </c>
      <c r="F71" t="n">
        <v>1517.32</v>
      </c>
      <c r="G71" t="n">
        <v>1861.55</v>
      </c>
      <c r="H71" t="n">
        <v>1875.68</v>
      </c>
      <c r="I71" t="n">
        <v>1809.39</v>
      </c>
      <c r="J71" t="n">
        <v>2.81</v>
      </c>
      <c r="K71" t="n">
        <v>4.584285714285715</v>
      </c>
      <c r="L71" t="inlineStr">
        <is>
          <t>🔴 CRITICAL: Deposits at 81.5% of target (Need ₹344Cr more) | ✅ Advances at 103.7% - Strong performance | 🟢 NPA at 2.81% - Manageable</t>
        </is>
      </c>
      <c r="M71" t="inlineStr">
        <is>
          <t>URGENT: Launch deposit mobilization drive within 7 days | Target 5 new CASA accounts daily | Conduct customer meets in catchment area | Continue monitoring stress accounts</t>
        </is>
      </c>
      <c r="N7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  <col width="20" customWidth="1" min="3" max="3"/>
  </cols>
  <sheetData>
    <row r="2">
      <c r="B2" s="16" t="inlineStr">
        <is>
          <t>🤖 AI-POWERED BRANCH PERFORMANCE ANALYSIS</t>
        </is>
      </c>
    </row>
    <row r="4">
      <c r="B4" s="17" t="inlineStr">
        <is>
          <t>Selected Branch:</t>
        </is>
      </c>
      <c r="C4" s="7">
        <f>'BRANCH PROFILE FULL FORMAT'!E9</f>
        <v/>
      </c>
    </row>
    <row r="5">
      <c r="B5" s="8" t="inlineStr">
        <is>
          <t>Overall Grade:</t>
        </is>
      </c>
      <c r="C5" s="18">
        <f>INDEX(DATA!D:D,MATCH('BRANCH PROFILE FULL FORMAT'!E9,DATA!B:B,0))</f>
        <v/>
      </c>
    </row>
    <row r="6">
      <c r="B6" s="8" t="inlineStr">
        <is>
          <t>Performance Score:</t>
        </is>
      </c>
      <c r="C6" s="19">
        <f>INDEX(DATA!E:E,MATCH('BRANCH PROFILE FULL FORMAT'!E9,DATA!B:B,0))</f>
        <v/>
      </c>
    </row>
    <row r="9">
      <c r="B9" s="20" t="inlineStr">
        <is>
          <t>🎯 KEY INSIGHTS</t>
        </is>
      </c>
    </row>
    <row r="10" ht="100" customHeight="1">
      <c r="B10" s="21">
        <f>INDEX(DATA!L:L,MATCH('BRANCH PROFILE FULL FORMAT'!E9,DATA!B:B,0))</f>
        <v/>
      </c>
    </row>
    <row r="12">
      <c r="B12" s="22" t="inlineStr">
        <is>
          <t>💡 RECOMMENDED ACTIONS</t>
        </is>
      </c>
    </row>
    <row r="13" ht="120" customHeight="1">
      <c r="B13" s="21">
        <f>INDEX(DATA!M:M,MATCH('BRANCH PROFILE FULL FORMAT'!E9,DATA!B:B,0))</f>
        <v/>
      </c>
    </row>
    <row r="15">
      <c r="B15" s="23" t="inlineStr">
        <is>
          <t>⚡ PRIORITY ACTION ITEMS</t>
        </is>
      </c>
    </row>
    <row r="16">
      <c r="B16" s="24" t="inlineStr">
        <is>
          <t>Priority actions are generated based on your performance gaps. Focus on P1-CRITICAL items first.</t>
        </is>
      </c>
    </row>
  </sheetData>
  <mergeCells count="4">
    <mergeCell ref="B9:C9"/>
    <mergeCell ref="B2:C2"/>
    <mergeCell ref="B15:C15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>
      <c r="B2" s="16" t="inlineStr">
        <is>
          <t>📊 DAILY BUSINESS POSITION (DBP)</t>
        </is>
      </c>
    </row>
    <row r="4">
      <c r="B4" s="8" t="inlineStr">
        <is>
          <t>Branch:</t>
        </is>
      </c>
      <c r="C4" s="7">
        <f>'BRANCH PROFILE FULL FORMAT'!E9</f>
        <v/>
      </c>
    </row>
    <row r="5">
      <c r="B5" s="3" t="inlineStr">
        <is>
          <t>As on: 16-Jan-2026 vs 15-Jan-2026</t>
        </is>
      </c>
    </row>
    <row r="8">
      <c r="B8" s="11" t="inlineStr">
        <is>
          <t>Parameter</t>
        </is>
      </c>
      <c r="C8" s="11" t="inlineStr">
        <is>
          <t>Previous Day</t>
        </is>
      </c>
      <c r="D8" s="11" t="inlineStr">
        <is>
          <t>Current Day</t>
        </is>
      </c>
      <c r="E8" s="11" t="inlineStr">
        <is>
          <t>Change</t>
        </is>
      </c>
      <c r="F8" s="11" t="inlineStr">
        <is>
          <t>% Change</t>
        </is>
      </c>
    </row>
    <row r="9">
      <c r="B9" s="8" t="inlineStr">
        <is>
          <t>Total Deposits</t>
        </is>
      </c>
      <c r="C9" s="25" t="n">
        <v>0</v>
      </c>
      <c r="D9" s="25" t="n">
        <v>0</v>
      </c>
      <c r="E9" s="26">
        <f>D9-C9</f>
        <v/>
      </c>
      <c r="F9" s="27">
        <f>IF(C9&lt;&gt;0,(D9-C9)/C9*100,0)</f>
        <v/>
      </c>
    </row>
    <row r="10">
      <c r="B10" s="8" t="inlineStr">
        <is>
          <t>Total Advances</t>
        </is>
      </c>
      <c r="C10" s="25" t="n">
        <v>0</v>
      </c>
      <c r="D10" s="25" t="n">
        <v>0</v>
      </c>
      <c r="E10" s="26">
        <f>D10-C10</f>
        <v/>
      </c>
      <c r="F10" s="27">
        <f>IF(C10&lt;&gt;0,(D10-C10)/C10*100,0)</f>
        <v/>
      </c>
    </row>
    <row r="11">
      <c r="B11" s="28" t="inlineStr">
        <is>
          <t>CASA</t>
        </is>
      </c>
      <c r="C11" s="25" t="n">
        <v>0</v>
      </c>
      <c r="D11" s="25" t="n">
        <v>0</v>
      </c>
      <c r="E11" s="26">
        <f>D11-C11</f>
        <v/>
      </c>
      <c r="F11" s="27">
        <f>IF(C11&lt;&gt;0,(D11-C11)/C11*100,0)</f>
        <v/>
      </c>
    </row>
    <row r="12">
      <c r="B12" s="28" t="inlineStr">
        <is>
          <t>Gold Loan</t>
        </is>
      </c>
      <c r="C12" s="25" t="n">
        <v>0</v>
      </c>
      <c r="D12" s="25" t="n">
        <v>0</v>
      </c>
      <c r="E12" s="26">
        <f>D12-C12</f>
        <v/>
      </c>
      <c r="F12" s="27">
        <f>IF(C12&lt;&gt;0,(D12-C12)/C12*100,0)</f>
        <v/>
      </c>
    </row>
    <row r="13">
      <c r="B13" s="28" t="inlineStr">
        <is>
          <t>NPA %</t>
        </is>
      </c>
      <c r="C13" s="25" t="n">
        <v>0</v>
      </c>
      <c r="D13" s="25" t="n">
        <v>0</v>
      </c>
      <c r="E13" s="26">
        <f>D13-C13</f>
        <v/>
      </c>
      <c r="F13" s="27">
        <f>IF(C13&lt;&gt;0,(D13-C13)/C13*100,0)</f>
        <v/>
      </c>
    </row>
    <row r="14">
      <c r="B14" s="28" t="inlineStr">
        <is>
          <t>Advances/Deposits Ratio</t>
        </is>
      </c>
      <c r="C14" s="25" t="n">
        <v>0</v>
      </c>
      <c r="D14" s="25" t="n">
        <v>0</v>
      </c>
      <c r="E14" s="26">
        <f>D14-C14</f>
        <v/>
      </c>
      <c r="F14" s="27">
        <f>IF(C14&lt;&gt;0,(D14-C14)/C14*100,0)</f>
        <v/>
      </c>
    </row>
    <row r="17">
      <c r="B17" s="29" t="inlineStr">
        <is>
          <t>📈 DAILY HIGHLIGHTS</t>
        </is>
      </c>
    </row>
    <row r="18" ht="60" customHeight="1">
      <c r="B18" s="30" t="inlineStr">
        <is>
          <t>✅ Positive movements are highlighted in green
⚠️ Negative movements are highlighted in red
📊 Daily tracking helps identify immediate trends
🎯 Focus on parameters showing negative change</t>
        </is>
      </c>
    </row>
  </sheetData>
  <mergeCells count="3">
    <mergeCell ref="B2:F2"/>
    <mergeCell ref="B5:C5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2026-01-16T15:09:34Z</dcterms:created>
  <dcterms:modified xsi:type="dcterms:W3CDTF">2026-01-16T15:09:34Z</dcterms:modified>
</cp:coreProperties>
</file>